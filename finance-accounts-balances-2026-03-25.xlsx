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<sst xmlns="http://schemas.openxmlformats.org/spreadsheetml/2006/main" count="46" uniqueCount="36">
  <si>
    <t>Type</t>
  </si>
  <si>
    <t>Name</t>
  </si>
  <si>
    <t>Promo ends</t>
  </si>
  <si>
    <t>Status/note</t>
  </si>
  <si>
    <t>Credit limit</t>
  </si>
  <si>
    <t>Autopayments?</t>
  </si>
  <si>
    <t>Asset</t>
  </si>
  <si>
    <t>Checking (USAA)</t>
  </si>
  <si>
    <t>Savings (USAA)</t>
  </si>
  <si>
    <t>Venmo</t>
  </si>
  <si>
    <t>Paypal</t>
  </si>
  <si>
    <t>SUBTOTAL 1</t>
  </si>
  <si>
    <t>Liability</t>
  </si>
  <si>
    <t>BofA Visa "Unlimited Cash Rewards"</t>
  </si>
  <si>
    <t>added here 2026.05.06</t>
  </si>
  <si>
    <t>!</t>
  </si>
  <si>
    <t>USAA Signature Visa (USAA) 2053</t>
  </si>
  <si>
    <t>Yes (USAA checking)</t>
  </si>
  <si>
    <t>Wells Fargo 3834</t>
  </si>
  <si>
    <t>Yes</t>
  </si>
  <si>
    <t>Chase Freedom 7878</t>
  </si>
  <si>
    <t>$9000, 27.49%</t>
  </si>
  <si>
    <t>Citi Simplicity Visa 0745</t>
  </si>
  <si>
    <t>Closed</t>
  </si>
  <si>
    <t>SUBTOTAL 2</t>
  </si>
  <si>
    <t>TOTAL (OLD)</t>
  </si>
  <si>
    <t>Savings</t>
  </si>
  <si>
    <t>Baird-IRA</t>
  </si>
  <si>
    <t>Baird-Other</t>
  </si>
  <si>
    <t>Student</t>
  </si>
  <si>
    <t>Nest529</t>
  </si>
  <si>
    <t>Edfinancial</t>
  </si>
  <si>
    <t>TSP (fema savings)</t>
  </si>
  <si>
    <t>SUBTOTAL 3</t>
  </si>
  <si>
    <t>TOTAL (NEW)</t>
  </si>
  <si>
    <t>LIQUID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</si>
</sst>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/d/yyyy"/>
    <numFmt numFmtId="166" formatCode="m/d"/>
    <numFmt numFmtId="167" formatCode="&quot;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165" xfId="0" applyAlignment="1" applyFont="1" applyNumberFormat="1">
      <alignment shrinkToFit="0" wrapText="0"/>
    </xf>
    <xf borderId="0" fillId="0" fontId="1" numFmtId="166" xfId="0" applyAlignment="1" applyFont="1" applyNumberFormat="1">
      <alignment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167" xfId="0" applyAlignment="1" applyFont="1" applyNumberFormat="1">
      <alignment shrinkToFit="0" wrapText="0"/>
    </xf>
    <xf borderId="0" fillId="0" fontId="1" numFmtId="164" xfId="0" applyFont="1" applyNumberFormat="1"/>
    <xf borderId="0" fillId="0" fontId="1" numFmtId="4" xfId="0" applyAlignment="1" applyFont="1" applyNumberFormat="1">
      <alignment shrinkToFit="0" wrapText="0"/>
    </xf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9.0"/>
    <col customWidth="1" min="2" max="2" width="13.63"/>
    <col customWidth="1" min="3" max="5" width="13.13"/>
    <col customWidth="1" min="6" max="6" width="4.38"/>
    <col customWidth="1" min="7" max="7" width="13.63"/>
    <col customWidth="1" min="8" max="17" width="10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>
        <v>45407.0</v>
      </c>
      <c r="H1" s="4">
        <v>45457.0</v>
      </c>
      <c r="I1" s="4">
        <v>45489.0</v>
      </c>
      <c r="J1" s="4">
        <v>45527.0</v>
      </c>
      <c r="K1" s="4">
        <v>45562.0</v>
      </c>
      <c r="L1" s="4">
        <v>45594.0</v>
      </c>
      <c r="M1" s="4">
        <v>45630.0</v>
      </c>
      <c r="N1" s="4">
        <v>45651.0</v>
      </c>
      <c r="O1" s="4">
        <v>45687.0</v>
      </c>
      <c r="P1" s="4">
        <v>45745.0</v>
      </c>
      <c r="Q1" s="4">
        <v>45803.0</v>
      </c>
      <c r="R1" s="4">
        <v>45827.0</v>
      </c>
      <c r="S1" s="5">
        <v>45858.0</v>
      </c>
      <c r="T1" s="4">
        <v>45885.0</v>
      </c>
      <c r="U1" s="4">
        <v>45899.0</v>
      </c>
      <c r="V1" s="4">
        <v>45931.0</v>
      </c>
      <c r="W1" s="4">
        <v>45968.0</v>
      </c>
      <c r="X1" s="4">
        <v>46015.0</v>
      </c>
      <c r="Y1" s="4">
        <v>46047.0</v>
      </c>
      <c r="Z1" s="6">
        <v>46106.0</v>
      </c>
      <c r="AA1" s="6">
        <v>46148.0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5.75" customHeight="1">
      <c r="A2" s="3" t="s">
        <v>6</v>
      </c>
      <c r="B2" s="3" t="s">
        <v>7</v>
      </c>
      <c r="C2" s="3"/>
      <c r="D2" s="3"/>
      <c r="E2" s="3"/>
      <c r="F2" s="3"/>
      <c r="G2" s="3">
        <v>2454.47</v>
      </c>
      <c r="H2" s="3">
        <v>1312.37</v>
      </c>
      <c r="I2" s="3">
        <v>5253.61</v>
      </c>
      <c r="J2" s="3">
        <v>3394.05</v>
      </c>
      <c r="K2" s="3">
        <v>6827.56</v>
      </c>
      <c r="L2" s="3">
        <v>5696.65</v>
      </c>
      <c r="M2" s="3">
        <v>3326.61</v>
      </c>
      <c r="N2" s="3">
        <v>18251.75</v>
      </c>
      <c r="O2" s="3">
        <v>7519.75</v>
      </c>
      <c r="P2" s="3">
        <v>8593.78</v>
      </c>
      <c r="Q2" s="3">
        <v>9734.04</v>
      </c>
      <c r="R2" s="3">
        <v>1915.13</v>
      </c>
      <c r="S2" s="7">
        <v>7706.93</v>
      </c>
      <c r="T2" s="3">
        <v>7225.67</v>
      </c>
      <c r="U2" s="3">
        <v>8124.92</v>
      </c>
      <c r="V2" s="3">
        <v>6573.57</v>
      </c>
      <c r="W2" s="3">
        <v>6544.96</v>
      </c>
      <c r="X2" s="3">
        <v>9140.41</v>
      </c>
      <c r="Y2" s="3">
        <v>5299.44</v>
      </c>
      <c r="Z2" s="2">
        <v>2474.45</v>
      </c>
      <c r="AA2" s="2">
        <v>1416.92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t="15.75" customHeight="1">
      <c r="A3" s="3" t="s">
        <v>6</v>
      </c>
      <c r="B3" s="3" t="s">
        <v>8</v>
      </c>
      <c r="C3" s="3"/>
      <c r="D3" s="3"/>
      <c r="E3" s="3"/>
      <c r="F3" s="3"/>
      <c r="G3" s="3">
        <v>5016.07</v>
      </c>
      <c r="H3" s="3">
        <v>4701.01</v>
      </c>
      <c r="I3" s="3">
        <v>4701.05</v>
      </c>
      <c r="J3" s="3">
        <v>3701.09</v>
      </c>
      <c r="K3" s="3">
        <v>3701.12</v>
      </c>
      <c r="L3" s="3">
        <v>3701.15</v>
      </c>
      <c r="M3" s="3">
        <v>3701.21</v>
      </c>
      <c r="N3" s="3">
        <v>3701.21</v>
      </c>
      <c r="O3" s="3">
        <v>3701.24</v>
      </c>
      <c r="P3" s="3">
        <v>3701.3</v>
      </c>
      <c r="Q3" s="3">
        <v>3701.36</v>
      </c>
      <c r="R3" s="3">
        <v>2701.39</v>
      </c>
      <c r="S3" s="7">
        <v>2701.41</v>
      </c>
      <c r="T3" s="3">
        <v>2701.43</v>
      </c>
      <c r="U3" s="3">
        <v>2701.45</v>
      </c>
      <c r="V3" s="3">
        <v>2701.47</v>
      </c>
      <c r="W3" s="3">
        <v>2701.49</v>
      </c>
      <c r="X3" s="3">
        <v>2701.51</v>
      </c>
      <c r="Y3" s="3">
        <v>2701.53</v>
      </c>
      <c r="Z3" s="2">
        <v>2701.57</v>
      </c>
      <c r="AA3" s="2">
        <v>0.0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ht="15.75" customHeight="1">
      <c r="A4" s="3" t="s">
        <v>6</v>
      </c>
      <c r="B4" s="3" t="s">
        <v>9</v>
      </c>
      <c r="C4" s="3"/>
      <c r="D4" s="3"/>
      <c r="E4" s="3"/>
      <c r="F4" s="3"/>
      <c r="G4" s="3">
        <v>576.74</v>
      </c>
      <c r="H4" s="3">
        <v>576.74</v>
      </c>
      <c r="I4" s="3">
        <v>0.0</v>
      </c>
      <c r="J4" s="3">
        <v>400.0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1">
        <v>0.0</v>
      </c>
      <c r="T4" s="3">
        <v>0.0</v>
      </c>
      <c r="U4" s="3">
        <v>0.0</v>
      </c>
      <c r="V4" s="3"/>
      <c r="W4" s="3">
        <v>0.0</v>
      </c>
      <c r="X4" s="3">
        <v>0.0</v>
      </c>
      <c r="Y4" s="3"/>
      <c r="Z4" s="2">
        <v>0.0</v>
      </c>
      <c r="AA4" s="2">
        <v>0.0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ht="15.75" customHeight="1">
      <c r="A5" s="3" t="s">
        <v>6</v>
      </c>
      <c r="B5" s="3" t="s">
        <v>10</v>
      </c>
      <c r="C5" s="3"/>
      <c r="D5" s="3"/>
      <c r="E5" s="3"/>
      <c r="F5" s="3"/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2.51</v>
      </c>
      <c r="P5" s="3">
        <v>0.0</v>
      </c>
      <c r="Q5" s="3">
        <v>0.0</v>
      </c>
      <c r="R5" s="3">
        <v>0.0</v>
      </c>
      <c r="S5" s="1">
        <v>0.0</v>
      </c>
      <c r="T5" s="3">
        <v>0.0</v>
      </c>
      <c r="U5" s="3">
        <v>0.0</v>
      </c>
      <c r="V5" s="3"/>
      <c r="W5" s="3">
        <v>0.0</v>
      </c>
      <c r="X5" s="3">
        <v>0.0</v>
      </c>
      <c r="Y5" s="3"/>
      <c r="Z5" s="2">
        <v>0.0</v>
      </c>
      <c r="AA5" s="2">
        <v>0.0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ht="15.75" customHeight="1">
      <c r="A6" s="3"/>
      <c r="B6" s="3" t="s">
        <v>11</v>
      </c>
      <c r="C6" s="3"/>
      <c r="D6" s="3"/>
      <c r="E6" s="3"/>
      <c r="F6" s="3"/>
      <c r="G6" s="3">
        <f t="shared" ref="G6:AA6" si="1">SUM(G2:G5)</f>
        <v>8047.28</v>
      </c>
      <c r="H6" s="3">
        <f t="shared" si="1"/>
        <v>6590.12</v>
      </c>
      <c r="I6" s="3">
        <f t="shared" si="1"/>
        <v>9954.66</v>
      </c>
      <c r="J6" s="3">
        <f t="shared" si="1"/>
        <v>7495.14</v>
      </c>
      <c r="K6" s="3">
        <f t="shared" si="1"/>
        <v>10528.68</v>
      </c>
      <c r="L6" s="3">
        <f t="shared" si="1"/>
        <v>9397.8</v>
      </c>
      <c r="M6" s="3">
        <f t="shared" si="1"/>
        <v>7027.82</v>
      </c>
      <c r="N6" s="3">
        <f t="shared" si="1"/>
        <v>21952.96</v>
      </c>
      <c r="O6" s="3">
        <f t="shared" si="1"/>
        <v>11223.5</v>
      </c>
      <c r="P6" s="3">
        <f t="shared" si="1"/>
        <v>12295.08</v>
      </c>
      <c r="Q6" s="3">
        <f t="shared" si="1"/>
        <v>13435.4</v>
      </c>
      <c r="R6" s="3">
        <f t="shared" si="1"/>
        <v>4616.52</v>
      </c>
      <c r="S6" s="3">
        <f t="shared" si="1"/>
        <v>10408.34</v>
      </c>
      <c r="T6" s="3">
        <f t="shared" si="1"/>
        <v>9927.1</v>
      </c>
      <c r="U6" s="3">
        <f t="shared" si="1"/>
        <v>10826.37</v>
      </c>
      <c r="V6" s="3">
        <f t="shared" si="1"/>
        <v>9275.04</v>
      </c>
      <c r="W6" s="3">
        <f t="shared" si="1"/>
        <v>9246.45</v>
      </c>
      <c r="X6" s="3">
        <f t="shared" si="1"/>
        <v>11841.92</v>
      </c>
      <c r="Y6" s="3">
        <f t="shared" si="1"/>
        <v>8000.97</v>
      </c>
      <c r="Z6" s="3">
        <f t="shared" si="1"/>
        <v>5176.02</v>
      </c>
      <c r="AA6" s="3">
        <f t="shared" si="1"/>
        <v>1416.92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ht="15.75" customHeight="1">
      <c r="A8" s="3" t="s">
        <v>12</v>
      </c>
      <c r="B8" s="2" t="s">
        <v>13</v>
      </c>
      <c r="C8" s="2"/>
      <c r="D8" s="2" t="s">
        <v>14</v>
      </c>
      <c r="E8" s="2">
        <v>-8200.0</v>
      </c>
      <c r="F8" s="2" t="s">
        <v>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8"/>
      <c r="W8" s="3"/>
      <c r="X8" s="3"/>
      <c r="Y8" s="3"/>
      <c r="Z8" s="2"/>
      <c r="AA8" s="2">
        <v>0.0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ht="15.75" customHeight="1">
      <c r="A9" s="3" t="s">
        <v>12</v>
      </c>
      <c r="B9" s="2" t="s">
        <v>16</v>
      </c>
      <c r="C9" s="3"/>
      <c r="D9" s="3"/>
      <c r="E9" s="3">
        <v>-30000.0</v>
      </c>
      <c r="F9" s="3" t="s">
        <v>17</v>
      </c>
      <c r="G9" s="3">
        <v>0.0</v>
      </c>
      <c r="H9" s="3">
        <v>0.0</v>
      </c>
      <c r="I9" s="3">
        <v>0.0</v>
      </c>
      <c r="J9" s="3">
        <v>0.0</v>
      </c>
      <c r="K9" s="3"/>
      <c r="L9" s="3">
        <v>-25.0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8">
        <v>0.0</v>
      </c>
      <c r="W9" s="3">
        <v>-25.0</v>
      </c>
      <c r="X9" s="3">
        <v>0.0</v>
      </c>
      <c r="Y9" s="3">
        <v>0.0</v>
      </c>
      <c r="Z9" s="2">
        <v>0.0</v>
      </c>
      <c r="AA9" s="2">
        <v>0.0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ht="15.75" customHeight="1">
      <c r="A10" s="3" t="s">
        <v>12</v>
      </c>
      <c r="B10" s="3" t="s">
        <v>18</v>
      </c>
      <c r="C10" s="3"/>
      <c r="D10" s="3"/>
      <c r="E10" s="3">
        <v>-4000.0</v>
      </c>
      <c r="F10" s="3" t="s">
        <v>19</v>
      </c>
      <c r="G10" s="3">
        <v>-668.55</v>
      </c>
      <c r="H10" s="3">
        <v>-2483.32</v>
      </c>
      <c r="I10" s="3">
        <v>-3626.46</v>
      </c>
      <c r="J10" s="3">
        <v>-3479.56</v>
      </c>
      <c r="K10" s="3">
        <v>-2958.26</v>
      </c>
      <c r="L10" s="3">
        <v>-3833.87</v>
      </c>
      <c r="M10" s="3">
        <v>-2933.17</v>
      </c>
      <c r="N10" s="3">
        <v>-4372.39</v>
      </c>
      <c r="O10" s="3">
        <v>-3955.37</v>
      </c>
      <c r="P10" s="3">
        <v>-4444.26</v>
      </c>
      <c r="Q10" s="3">
        <v>-3692.87</v>
      </c>
      <c r="R10" s="3">
        <v>-3068.69</v>
      </c>
      <c r="S10" s="9">
        <v>-3173.59</v>
      </c>
      <c r="T10" s="3">
        <v>-1928.02</v>
      </c>
      <c r="U10" s="3">
        <v>-2428.72</v>
      </c>
      <c r="V10" s="3">
        <v>-2416.17</v>
      </c>
      <c r="W10" s="3">
        <v>-5059.5</v>
      </c>
      <c r="X10" s="3">
        <v>-3639.19</v>
      </c>
      <c r="Y10" s="3">
        <v>-1223.85</v>
      </c>
      <c r="Z10" s="2">
        <v>-2663.6</v>
      </c>
      <c r="AA10" s="2">
        <v>-1216.33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ht="15.75" customHeight="1">
      <c r="A11" s="3" t="s">
        <v>12</v>
      </c>
      <c r="B11" s="3" t="s">
        <v>20</v>
      </c>
      <c r="C11" s="2"/>
      <c r="D11" s="2" t="s">
        <v>21</v>
      </c>
      <c r="E11" s="3">
        <v>-9000.0</v>
      </c>
      <c r="F11" s="3"/>
      <c r="G11" s="3">
        <v>0.0</v>
      </c>
      <c r="H11" s="3">
        <v>0.0</v>
      </c>
      <c r="I11" s="3">
        <v>0.0</v>
      </c>
      <c r="J11" s="3">
        <v>-1619.07</v>
      </c>
      <c r="K11" s="3">
        <v>-8186.54</v>
      </c>
      <c r="L11" s="3">
        <v>-8407.21</v>
      </c>
      <c r="M11" s="3">
        <v>-8270.2</v>
      </c>
      <c r="N11" s="3">
        <v>-8270.2</v>
      </c>
      <c r="O11" s="3">
        <v>-8237.19</v>
      </c>
      <c r="P11" s="3">
        <v>-8336.18</v>
      </c>
      <c r="Q11" s="3">
        <v>-8253.16</v>
      </c>
      <c r="R11" s="3">
        <v>-69.98</v>
      </c>
      <c r="S11" s="1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>
        <v>0.0</v>
      </c>
      <c r="AA11" s="2">
        <v>0.0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ht="15.75" customHeight="1">
      <c r="A12" s="3" t="s">
        <v>12</v>
      </c>
      <c r="B12" s="3" t="s">
        <v>22</v>
      </c>
      <c r="C12" s="2"/>
      <c r="D12" s="2" t="s">
        <v>23</v>
      </c>
      <c r="E12" s="3">
        <v>0.0</v>
      </c>
      <c r="F12" s="3"/>
      <c r="G12" s="3">
        <v>-4479.03</v>
      </c>
      <c r="H12" s="3">
        <v>-4455.0</v>
      </c>
      <c r="I12" s="3">
        <v>-4410.0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1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>
        <v>0.0</v>
      </c>
      <c r="AA12" s="2">
        <v>0.0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ht="15.75" customHeight="1">
      <c r="A13" s="3"/>
      <c r="B13" s="3" t="s">
        <v>24</v>
      </c>
      <c r="C13" s="3"/>
      <c r="D13" s="3"/>
      <c r="E13" s="3">
        <f>SUM(E9:E12)</f>
        <v>-43000</v>
      </c>
      <c r="F13" s="3"/>
      <c r="G13" s="3">
        <f t="shared" ref="G13:AA13" si="2">SUM(G9:G12)</f>
        <v>-5147.58</v>
      </c>
      <c r="H13" s="3">
        <f t="shared" si="2"/>
        <v>-6938.32</v>
      </c>
      <c r="I13" s="3">
        <f t="shared" si="2"/>
        <v>-8036.46</v>
      </c>
      <c r="J13" s="3">
        <f t="shared" si="2"/>
        <v>-5098.63</v>
      </c>
      <c r="K13" s="3">
        <f t="shared" si="2"/>
        <v>-11144.8</v>
      </c>
      <c r="L13" s="3">
        <f t="shared" si="2"/>
        <v>-12266.08</v>
      </c>
      <c r="M13" s="3">
        <f t="shared" si="2"/>
        <v>-11203.37</v>
      </c>
      <c r="N13" s="3">
        <f t="shared" si="2"/>
        <v>-12642.59</v>
      </c>
      <c r="O13" s="3">
        <f t="shared" si="2"/>
        <v>-12192.56</v>
      </c>
      <c r="P13" s="3">
        <f t="shared" si="2"/>
        <v>-12780.44</v>
      </c>
      <c r="Q13" s="3">
        <f t="shared" si="2"/>
        <v>-11946.03</v>
      </c>
      <c r="R13" s="3">
        <f t="shared" si="2"/>
        <v>-3138.67</v>
      </c>
      <c r="S13" s="3">
        <f t="shared" si="2"/>
        <v>-3173.59</v>
      </c>
      <c r="T13" s="3">
        <f t="shared" si="2"/>
        <v>-1928.02</v>
      </c>
      <c r="U13" s="3">
        <f t="shared" si="2"/>
        <v>-2428.72</v>
      </c>
      <c r="V13" s="3">
        <f t="shared" si="2"/>
        <v>-2416.17</v>
      </c>
      <c r="W13" s="3">
        <f t="shared" si="2"/>
        <v>-5084.5</v>
      </c>
      <c r="X13" s="3">
        <f t="shared" si="2"/>
        <v>-3639.19</v>
      </c>
      <c r="Y13" s="3">
        <f t="shared" si="2"/>
        <v>-1223.85</v>
      </c>
      <c r="Z13" s="3">
        <f t="shared" si="2"/>
        <v>-2663.6</v>
      </c>
      <c r="AA13" s="3">
        <f t="shared" si="2"/>
        <v>-1216.33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ht="15.75" customHeight="1">
      <c r="A14" s="3"/>
      <c r="B14" s="3" t="s">
        <v>25</v>
      </c>
      <c r="C14" s="3"/>
      <c r="D14" s="3"/>
      <c r="E14" s="3"/>
      <c r="F14" s="3"/>
      <c r="G14" s="3">
        <f t="shared" ref="G14:Q14" si="3">G6+G13</f>
        <v>2899.7</v>
      </c>
      <c r="H14" s="3">
        <f t="shared" si="3"/>
        <v>-348.2</v>
      </c>
      <c r="I14" s="3">
        <f t="shared" si="3"/>
        <v>1918.2</v>
      </c>
      <c r="J14" s="3">
        <f t="shared" si="3"/>
        <v>2396.51</v>
      </c>
      <c r="K14" s="3">
        <f t="shared" si="3"/>
        <v>-616.12</v>
      </c>
      <c r="L14" s="3">
        <f t="shared" si="3"/>
        <v>-2868.28</v>
      </c>
      <c r="M14" s="3">
        <f t="shared" si="3"/>
        <v>-4175.55</v>
      </c>
      <c r="N14" s="3">
        <f t="shared" si="3"/>
        <v>9310.37</v>
      </c>
      <c r="O14" s="3">
        <f t="shared" si="3"/>
        <v>-969.06</v>
      </c>
      <c r="P14" s="3">
        <f t="shared" si="3"/>
        <v>-485.36</v>
      </c>
      <c r="Q14" s="3">
        <f t="shared" si="3"/>
        <v>1489.37</v>
      </c>
      <c r="R14" s="3">
        <f t="shared" ref="R14:V14" si="4">SUM(R10:R13)</f>
        <v>-6277.34</v>
      </c>
      <c r="S14" s="3">
        <f t="shared" si="4"/>
        <v>-6347.18</v>
      </c>
      <c r="T14" s="3">
        <f t="shared" si="4"/>
        <v>-3856.04</v>
      </c>
      <c r="U14" s="3">
        <f t="shared" si="4"/>
        <v>-4857.44</v>
      </c>
      <c r="V14" s="3">
        <f t="shared" si="4"/>
        <v>-4832.34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ht="15.75" customHeight="1">
      <c r="A16" s="3" t="s">
        <v>26</v>
      </c>
      <c r="B16" s="3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136809.0</v>
      </c>
      <c r="S16" s="3">
        <v>140724.4</v>
      </c>
      <c r="T16" s="3">
        <v>142632.88</v>
      </c>
      <c r="U16" s="3">
        <v>143862.48</v>
      </c>
      <c r="V16" s="3">
        <v>145610.22</v>
      </c>
      <c r="W16" s="3">
        <v>144324.79</v>
      </c>
      <c r="X16" s="3">
        <v>149031.97</v>
      </c>
      <c r="Y16" s="3">
        <v>151112.53</v>
      </c>
      <c r="Z16" s="2">
        <v>144189.82</v>
      </c>
      <c r="AA16" s="2">
        <v>154050.8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ht="15.75" customHeight="1">
      <c r="A17" s="3" t="s">
        <v>26</v>
      </c>
      <c r="B17" s="2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15010.0</v>
      </c>
      <c r="S17" s="3">
        <v>15026.7</v>
      </c>
      <c r="T17" s="10">
        <v>15042.04</v>
      </c>
      <c r="U17" s="3">
        <v>15050.26</v>
      </c>
      <c r="V17" s="3">
        <v>15065.62</v>
      </c>
      <c r="W17" s="3">
        <v>15083.52</v>
      </c>
      <c r="X17" s="3">
        <v>15103.7</v>
      </c>
      <c r="Y17" s="3">
        <v>15117.38</v>
      </c>
      <c r="Z17" s="2">
        <v>15142.41</v>
      </c>
      <c r="AA17" s="2">
        <v>115226.23</v>
      </c>
      <c r="AB17" s="3"/>
      <c r="AC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ht="15.75" customHeight="1">
      <c r="A18" s="3" t="s">
        <v>29</v>
      </c>
      <c r="B18" s="3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2837.78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/>
      <c r="AB18" s="3"/>
      <c r="AC18" s="3"/>
      <c r="AD18" s="3"/>
      <c r="AE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ht="15.75" customHeight="1">
      <c r="A19" s="3" t="s">
        <v>29</v>
      </c>
      <c r="B19" s="3" t="s">
        <v>31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-11448.14</v>
      </c>
      <c r="S19" s="3">
        <v>-11448.14</v>
      </c>
      <c r="T19" s="3">
        <v>-11560.38</v>
      </c>
      <c r="U19" s="3">
        <v>-11455.39</v>
      </c>
      <c r="V19" s="3">
        <v>-11522.01</v>
      </c>
      <c r="W19" s="3">
        <v>-11330.77</v>
      </c>
      <c r="X19" s="3">
        <v>-11294.48</v>
      </c>
      <c r="Y19" s="3">
        <v>-11225.27</v>
      </c>
      <c r="Z19" s="2">
        <v>-10939.49</v>
      </c>
      <c r="AA19" s="2">
        <v>-10889.08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ht="15.75" customHeight="1">
      <c r="A20" s="3" t="s">
        <v>26</v>
      </c>
      <c r="B20" s="2" t="s">
        <v>32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>
        <v>2383.45</v>
      </c>
      <c r="X20" s="3">
        <v>0.0</v>
      </c>
      <c r="Y20" s="3">
        <v>0.0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ht="15.75" customHeight="1">
      <c r="A21" s="3"/>
      <c r="B21" s="3" t="s">
        <v>33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ref="R21:V21" si="5">sum(R16:R19)</f>
        <v>143208.64</v>
      </c>
      <c r="S21" s="3">
        <f t="shared" si="5"/>
        <v>144302.96</v>
      </c>
      <c r="T21" s="3">
        <f t="shared" si="5"/>
        <v>146114.54</v>
      </c>
      <c r="U21" s="3">
        <f t="shared" si="5"/>
        <v>147457.35</v>
      </c>
      <c r="V21" s="3">
        <f t="shared" si="5"/>
        <v>149153.83</v>
      </c>
      <c r="W21" s="3">
        <f t="shared" ref="W21:AA21" si="6">sum(W16:W20)</f>
        <v>150460.99</v>
      </c>
      <c r="X21" s="3">
        <f t="shared" si="6"/>
        <v>152841.19</v>
      </c>
      <c r="Y21" s="3">
        <f t="shared" si="6"/>
        <v>155004.64</v>
      </c>
      <c r="Z21" s="3">
        <f t="shared" si="6"/>
        <v>148392.74</v>
      </c>
      <c r="AA21" s="3">
        <f t="shared" si="6"/>
        <v>258387.95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ht="15.75" customHeight="1">
      <c r="A23" s="3"/>
      <c r="B23" s="3" t="s">
        <v>34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ref="R23:AA23" si="7">R6+R13+R21</f>
        <v>144686.49</v>
      </c>
      <c r="S23" s="3">
        <f t="shared" si="7"/>
        <v>151537.71</v>
      </c>
      <c r="T23" s="3">
        <f t="shared" si="7"/>
        <v>154113.62</v>
      </c>
      <c r="U23" s="3">
        <f t="shared" si="7"/>
        <v>155855</v>
      </c>
      <c r="V23" s="3">
        <f t="shared" si="7"/>
        <v>156012.7</v>
      </c>
      <c r="W23" s="3">
        <f t="shared" si="7"/>
        <v>154622.94</v>
      </c>
      <c r="X23" s="3">
        <f t="shared" si="7"/>
        <v>161043.92</v>
      </c>
      <c r="Y23" s="3">
        <f t="shared" si="7"/>
        <v>161781.76</v>
      </c>
      <c r="Z23" s="3">
        <f t="shared" si="7"/>
        <v>150905.16</v>
      </c>
      <c r="AA23" s="3">
        <f t="shared" si="7"/>
        <v>258588.54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ht="15.75" customHeight="1">
      <c r="A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ht="15.75" customHeight="1">
      <c r="A27" s="3"/>
      <c r="B27" s="3" t="s">
        <v>35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S27" s="3"/>
      <c r="T27" s="3"/>
      <c r="U27" s="3"/>
      <c r="V27" s="3">
        <f t="shared" ref="V27:AA27" si="8">V6+V13+V17</f>
        <v>21924.49</v>
      </c>
      <c r="W27" s="3">
        <f t="shared" si="8"/>
        <v>19245.47</v>
      </c>
      <c r="X27" s="3">
        <f t="shared" si="8"/>
        <v>23306.43</v>
      </c>
      <c r="Y27" s="3">
        <f t="shared" si="8"/>
        <v>21894.5</v>
      </c>
      <c r="Z27" s="3">
        <f t="shared" si="8"/>
        <v>17654.83</v>
      </c>
      <c r="AA27" s="3">
        <f t="shared" si="8"/>
        <v>115426.82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"/>
      <c r="U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